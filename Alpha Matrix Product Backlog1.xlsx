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E 495\"/>
    </mc:Choice>
  </mc:AlternateContent>
  <xr:revisionPtr revIDLastSave="0" documentId="13_ncr:1_{13CF2951-01E4-4674-ADCE-FF230F2E6752}" xr6:coauthVersionLast="47" xr6:coauthVersionMax="47" xr10:uidLastSave="{00000000-0000-0000-0000-000000000000}"/>
  <bookViews>
    <workbookView xWindow="-120" yWindow="-120" windowWidth="20730" windowHeight="11040" xr2:uid="{779AD12E-46DB-4B0F-9A58-6D02F516E2BE}"/>
  </bookViews>
  <sheets>
    <sheet name="Product Backlog" sheetId="1" r:id="rId1"/>
    <sheet name="Spent" sheetId="2" r:id="rId2"/>
    <sheet name="Piv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2" l="1"/>
  <c r="E27" i="2" s="1"/>
  <c r="F27" i="2" s="1"/>
  <c r="G27" i="2" s="1"/>
  <c r="G26" i="2" s="1"/>
  <c r="D28" i="2"/>
  <c r="E28" i="2"/>
  <c r="F28" i="2"/>
  <c r="G28" i="2"/>
  <c r="D31" i="2"/>
  <c r="E31" i="2"/>
  <c r="F31" i="2"/>
  <c r="G31" i="2"/>
  <c r="V10" i="2"/>
  <c r="W8" i="2"/>
  <c r="W7" i="2"/>
  <c r="W6" i="2"/>
  <c r="W5" i="2"/>
  <c r="W4" i="2"/>
  <c r="P10" i="2"/>
  <c r="Q8" i="2"/>
  <c r="Q7" i="2"/>
  <c r="Q6" i="2"/>
  <c r="Q5" i="2"/>
  <c r="Q4" i="2"/>
  <c r="J10" i="2"/>
  <c r="K8" i="2"/>
  <c r="K7" i="2"/>
  <c r="K6" i="2"/>
  <c r="K5" i="2"/>
  <c r="K4" i="2"/>
  <c r="D10" i="2"/>
  <c r="E5" i="2"/>
  <c r="E6" i="2"/>
  <c r="E7" i="2"/>
  <c r="E8" i="2"/>
  <c r="E4" i="2"/>
  <c r="M35" i="1"/>
  <c r="K35" i="1"/>
  <c r="I35" i="1"/>
  <c r="G35" i="1"/>
  <c r="D35" i="1"/>
  <c r="H32" i="2" l="1"/>
  <c r="F26" i="2"/>
  <c r="E26" i="2"/>
  <c r="D26" i="2"/>
  <c r="D32" i="2" l="1"/>
  <c r="E32" i="2" s="1"/>
  <c r="F32" i="2" s="1"/>
  <c r="G32" i="2" l="1"/>
  <c r="D29" i="2"/>
  <c r="E29" i="2"/>
  <c r="F29" i="2"/>
  <c r="G29" i="2"/>
  <c r="G33" i="2"/>
  <c r="G30" i="2"/>
  <c r="D33" i="2"/>
  <c r="D30" i="2"/>
  <c r="E33" i="2"/>
  <c r="E30" i="2"/>
  <c r="F33" i="2"/>
  <c r="F30" i="2"/>
</calcChain>
</file>

<file path=xl/sharedStrings.xml><?xml version="1.0" encoding="utf-8"?>
<sst xmlns="http://schemas.openxmlformats.org/spreadsheetml/2006/main" count="164" uniqueCount="89">
  <si>
    <t>Module</t>
  </si>
  <si>
    <t>ID</t>
  </si>
  <si>
    <t>Sprint 1</t>
  </si>
  <si>
    <t>Sprint 2</t>
  </si>
  <si>
    <t>Sprint 3</t>
  </si>
  <si>
    <t>Sprint 4</t>
  </si>
  <si>
    <t>user, create account using name &amp; phone number</t>
  </si>
  <si>
    <t>user, login using phone number</t>
  </si>
  <si>
    <t>user, select preferred language</t>
  </si>
  <si>
    <t>user, view profile &amp; activity history</t>
  </si>
  <si>
    <t>user, enable offline access</t>
  </si>
  <si>
    <t>user, capture crop image</t>
  </si>
  <si>
    <t>user, upload image (online/offline)</t>
  </si>
  <si>
    <t>user, view diagnosis history</t>
  </si>
  <si>
    <t>user, create post with image</t>
  </si>
  <si>
    <t>user, comment on posts</t>
  </si>
  <si>
    <t>user, like posts</t>
  </si>
  <si>
    <t>user, search posts by keyword</t>
  </si>
  <si>
    <t>admin, manage users</t>
  </si>
  <si>
    <t>admin, monitor logs &amp; activities</t>
  </si>
  <si>
    <t>system, maintain authentication logs</t>
  </si>
  <si>
    <t>User Management</t>
  </si>
  <si>
    <t>Crop Health Checker</t>
  </si>
  <si>
    <t>system, offline image queue handling</t>
  </si>
  <si>
    <t>system, AI-based image analysis</t>
  </si>
  <si>
    <t>system, show diagnosis &amp; recommendations</t>
  </si>
  <si>
    <t>Weather Forecast</t>
  </si>
  <si>
    <t>user, location-based weather data</t>
  </si>
  <si>
    <t>user, daily &amp; weekly forecast view</t>
  </si>
  <si>
    <t>system, weather alerts generation</t>
  </si>
  <si>
    <t>system, send notifications</t>
  </si>
  <si>
    <t>system, farming advice based on weather</t>
  </si>
  <si>
    <t>Crop Library</t>
  </si>
  <si>
    <t>user, search crops by filter</t>
  </si>
  <si>
    <t>user, view crop profiles</t>
  </si>
  <si>
    <t>user, save crops offline</t>
  </si>
  <si>
    <t>system, manage crop data</t>
  </si>
  <si>
    <t>Community Forum</t>
  </si>
  <si>
    <t>Admin System</t>
  </si>
  <si>
    <t xml:space="preserve">User Stories </t>
  </si>
  <si>
    <t>Initial</t>
  </si>
  <si>
    <t>Sprint#</t>
  </si>
  <si>
    <t>Total</t>
  </si>
  <si>
    <t>S1 done</t>
  </si>
  <si>
    <t>S1 rem</t>
  </si>
  <si>
    <t>S2 done</t>
  </si>
  <si>
    <t>S2 rem</t>
  </si>
  <si>
    <t>S3 done</t>
  </si>
  <si>
    <t>S3 rem</t>
  </si>
  <si>
    <t>S4 done</t>
  </si>
  <si>
    <t>S4 rem</t>
  </si>
  <si>
    <t>Person</t>
  </si>
  <si>
    <t>MD. Afridi</t>
  </si>
  <si>
    <t>Kazi Mazharul Islam Mridul</t>
  </si>
  <si>
    <t>Md Arman Hossain</t>
  </si>
  <si>
    <t>Israt Jahan Tasnim</t>
  </si>
  <si>
    <t>Tasnim Jabir</t>
  </si>
  <si>
    <t>Level</t>
  </si>
  <si>
    <t>Scrum Master</t>
  </si>
  <si>
    <t>Junior Developer</t>
  </si>
  <si>
    <t>Senior Developer</t>
  </si>
  <si>
    <t>Weight</t>
  </si>
  <si>
    <t>Allocation</t>
  </si>
  <si>
    <t>Cost</t>
  </si>
  <si>
    <t>Actual Cost Cumulative</t>
  </si>
  <si>
    <t>Schedule Variance</t>
  </si>
  <si>
    <t>Metric</t>
  </si>
  <si>
    <t>Cost in Man Weeks</t>
  </si>
  <si>
    <t>Cost in Man Days</t>
  </si>
  <si>
    <t>Earned Value</t>
  </si>
  <si>
    <t>Cumulative EV</t>
  </si>
  <si>
    <t>Cumulative PV</t>
  </si>
  <si>
    <t xml:space="preserve">Cost Variance </t>
  </si>
  <si>
    <t>Planed Value</t>
  </si>
  <si>
    <t>Row Labels</t>
  </si>
  <si>
    <t>Sum of Initial Estimation</t>
  </si>
  <si>
    <t>1. User Management</t>
  </si>
  <si>
    <t>2. Crop Health Checker</t>
  </si>
  <si>
    <t>3. Weather Forecast</t>
  </si>
  <si>
    <t>4. Crop Library</t>
  </si>
  <si>
    <t>Grand Total</t>
  </si>
  <si>
    <t>Start Date</t>
  </si>
  <si>
    <t>End Date</t>
  </si>
  <si>
    <t>5. Community Forum</t>
  </si>
  <si>
    <t>6. Admin System</t>
  </si>
  <si>
    <t>2-16-26</t>
  </si>
  <si>
    <t>2-15-2026</t>
  </si>
  <si>
    <t>1-31-2026</t>
  </si>
  <si>
    <t>3-25-2026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</si>
</sst>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C9DAF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0" fontId="0" fillId="0" borderId="0" xfId="0" applyNumberFormat="1"/>
    <xf numFmtId="0" fontId="4" fillId="2" borderId="0" xfId="0" applyFont="1" applyFill="1"/>
    <xf numFmtId="0" fontId="1" fillId="2" borderId="0" xfId="0" applyFont="1" applyFill="1"/>
    <xf numFmtId="0" fontId="3" fillId="9" borderId="0" xfId="1" applyFont="1" applyFill="1"/>
    <xf numFmtId="10" fontId="0" fillId="2" borderId="0" xfId="0" applyNumberFormat="1" applyFill="1"/>
    <xf numFmtId="0" fontId="6" fillId="0" borderId="0" xfId="2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vertical="center" wrapText="1"/>
    </xf>
    <xf numFmtId="0" fontId="7" fillId="0" borderId="0" xfId="2" applyFont="1"/>
    <xf numFmtId="3" fontId="6" fillId="0" borderId="0" xfId="2" applyNumberFormat="1" applyFont="1"/>
    <xf numFmtId="3" fontId="7" fillId="0" borderId="0" xfId="2" applyNumberFormat="1" applyFont="1"/>
    <xf numFmtId="10" fontId="7" fillId="0" borderId="0" xfId="2" applyNumberFormat="1" applyFont="1"/>
    <xf numFmtId="3" fontId="9" fillId="0" borderId="0" xfId="2" applyNumberFormat="1" applyFont="1"/>
    <xf numFmtId="0" fontId="12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7" fillId="0" borderId="0" xfId="2" applyFont="1"/>
    <xf numFmtId="0" fontId="8" fillId="0" borderId="0" xfId="2" applyFont="1"/>
    <xf numFmtId="0" fontId="6" fillId="0" borderId="0" xfId="2" applyFont="1"/>
    <xf numFmtId="0" fontId="5" fillId="0" borderId="0" xfId="2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25670F0F-B47A-4E52-BAF2-3E7748D30A14}"/>
    <cellStyle name="Normal 3" xfId="2" xr:uid="{05CA018F-88BF-4D5D-8CE3-82634D85F91F}"/>
  </cellStyles>
  <dxfs count="7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1E7727-2EE5-49BE-BD2A-92EABA1866BD}" name="Table4" displayName="Table4" ref="C24:G33" totalsRowShown="0" headerRowDxfId="6" dataDxfId="5">
  <autoFilter ref="C24:G33" xr:uid="{BC1E7727-2EE5-49BE-BD2A-92EABA1866BD}"/>
  <tableColumns count="5">
    <tableColumn id="1" xr3:uid="{1914FBCC-34F3-488A-AC55-05B2CE715EFA}" name="Metric" dataDxfId="4"/>
    <tableColumn id="2" xr3:uid="{3911948F-52EE-499D-8F05-DEB3794FEB90}" name="Sprint 1" dataDxfId="3">
      <calculatedColumnFormula>SUM(C12:C20)</calculatedColumnFormula>
    </tableColumn>
    <tableColumn id="3" xr3:uid="{EA0D29DD-7080-45A1-9A5B-3E8F366D9222}" name="Sprint 2" dataDxfId="2">
      <calculatedColumnFormula xml:space="preserve"> SUM(D12:D20)</calculatedColumnFormula>
    </tableColumn>
    <tableColumn id="4" xr3:uid="{D0C7A5B9-C77C-48FE-8303-3CA12D0F941E}" name="Sprint 3" dataDxfId="1">
      <calculatedColumnFormula xml:space="preserve"> SUM(E12:E20)</calculatedColumnFormula>
    </tableColumn>
    <tableColumn id="5" xr3:uid="{19251D8C-C179-4B24-875B-7539D38EDD14}" name="Sprint 4" dataDxfId="0">
      <calculatedColumnFormula>SUM(E12:E20)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6C16-6B27-4C98-93D2-A084301CFC5E}">
  <dimension ref="A1:N35"/>
  <sheetViews>
    <sheetView tabSelected="1" topLeftCell="A10" zoomScale="85" zoomScaleNormal="85" workbookViewId="0">
      <selection activeCell="D35" sqref="D35"/>
    </sheetView>
  </sheetViews>
  <sheetFormatPr defaultRowHeight="15" x14ac:dyDescent="0.25"/>
  <cols>
    <col min="1" max="1" width="21.5703125" customWidth="1"/>
    <col min="2" max="2" width="5.140625" style="17" customWidth="1"/>
    <col min="3" max="3" width="46.140625" customWidth="1"/>
    <col min="4" max="4" width="12.7109375" style="17" customWidth="1"/>
    <col min="5" max="5" width="9.140625" style="17"/>
    <col min="6" max="6" width="11.5703125" style="17" customWidth="1"/>
    <col min="7" max="7" width="13.140625" style="17" customWidth="1"/>
    <col min="8" max="8" width="16.7109375" style="17" customWidth="1"/>
    <col min="9" max="14" width="9.140625" style="17"/>
  </cols>
  <sheetData>
    <row r="1" spans="1:14" s="15" customFormat="1" ht="15.75" x14ac:dyDescent="0.25">
      <c r="A1" s="15" t="s">
        <v>0</v>
      </c>
      <c r="B1" s="14" t="s">
        <v>1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48</v>
      </c>
      <c r="M1" s="15" t="s">
        <v>49</v>
      </c>
      <c r="N1" s="15" t="s">
        <v>50</v>
      </c>
    </row>
    <row r="2" spans="1:14" s="17" customFormat="1" x14ac:dyDescent="0.25">
      <c r="A2" s="23" t="s">
        <v>21</v>
      </c>
      <c r="B2" s="16">
        <v>1.1000000000000001</v>
      </c>
      <c r="C2" s="16" t="s">
        <v>6</v>
      </c>
      <c r="D2" s="17">
        <v>14</v>
      </c>
      <c r="E2" s="17">
        <v>1</v>
      </c>
      <c r="F2" s="17">
        <v>60</v>
      </c>
      <c r="G2" s="17">
        <v>14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</row>
    <row r="3" spans="1:14" x14ac:dyDescent="0.25">
      <c r="A3" s="5" t="s">
        <v>21</v>
      </c>
      <c r="B3" s="16">
        <v>1.2</v>
      </c>
      <c r="C3" s="5" t="s">
        <v>7</v>
      </c>
      <c r="D3" s="17">
        <v>8</v>
      </c>
      <c r="E3" s="17">
        <v>1</v>
      </c>
      <c r="F3" s="17">
        <v>60</v>
      </c>
      <c r="G3" s="17">
        <v>8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</row>
    <row r="4" spans="1:14" x14ac:dyDescent="0.25">
      <c r="A4" s="5" t="s">
        <v>21</v>
      </c>
      <c r="B4" s="16">
        <v>1.3</v>
      </c>
      <c r="C4" s="5" t="s">
        <v>8</v>
      </c>
      <c r="D4" s="17">
        <v>6</v>
      </c>
      <c r="E4" s="17">
        <v>1</v>
      </c>
      <c r="F4" s="17">
        <v>60</v>
      </c>
      <c r="G4" s="17">
        <v>6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</row>
    <row r="5" spans="1:14" x14ac:dyDescent="0.25">
      <c r="A5" s="5" t="s">
        <v>21</v>
      </c>
      <c r="B5" s="16">
        <v>1.4</v>
      </c>
      <c r="C5" s="5" t="s">
        <v>9</v>
      </c>
      <c r="D5" s="17">
        <v>12</v>
      </c>
      <c r="E5" s="17">
        <v>1</v>
      </c>
      <c r="F5" s="17">
        <v>60</v>
      </c>
      <c r="G5" s="17">
        <v>12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</row>
    <row r="6" spans="1:14" x14ac:dyDescent="0.25">
      <c r="A6" s="5" t="s">
        <v>21</v>
      </c>
      <c r="B6" s="16">
        <v>1.5</v>
      </c>
      <c r="C6" s="5" t="s">
        <v>10</v>
      </c>
      <c r="D6" s="17">
        <v>10</v>
      </c>
      <c r="E6" s="17">
        <v>1</v>
      </c>
      <c r="F6" s="17">
        <v>60</v>
      </c>
      <c r="G6" s="17">
        <v>10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</row>
    <row r="7" spans="1:14" ht="14.25" customHeight="1" x14ac:dyDescent="0.25"/>
    <row r="8" spans="1:14" x14ac:dyDescent="0.25">
      <c r="A8" s="7" t="s">
        <v>22</v>
      </c>
      <c r="B8" s="18">
        <v>2.1</v>
      </c>
      <c r="C8" s="7" t="s">
        <v>11</v>
      </c>
      <c r="D8" s="17">
        <v>12</v>
      </c>
      <c r="E8" s="17">
        <v>2</v>
      </c>
      <c r="F8" s="17">
        <v>85</v>
      </c>
      <c r="G8" s="17">
        <v>0</v>
      </c>
      <c r="H8" s="17">
        <v>12</v>
      </c>
      <c r="I8" s="17">
        <v>8</v>
      </c>
      <c r="J8" s="17">
        <v>4</v>
      </c>
      <c r="K8" s="17">
        <v>4</v>
      </c>
      <c r="L8" s="17">
        <v>0</v>
      </c>
      <c r="M8" s="17">
        <v>0</v>
      </c>
      <c r="N8" s="17">
        <v>0</v>
      </c>
    </row>
    <row r="9" spans="1:14" x14ac:dyDescent="0.25">
      <c r="A9" s="7" t="s">
        <v>22</v>
      </c>
      <c r="B9" s="18">
        <v>2.2000000000000002</v>
      </c>
      <c r="C9" s="7" t="s">
        <v>12</v>
      </c>
      <c r="D9" s="17">
        <v>16</v>
      </c>
      <c r="E9" s="17">
        <v>2</v>
      </c>
      <c r="F9" s="17">
        <v>85</v>
      </c>
      <c r="G9" s="17">
        <v>0</v>
      </c>
      <c r="H9" s="17">
        <v>16</v>
      </c>
      <c r="I9" s="17">
        <v>10</v>
      </c>
      <c r="J9" s="17">
        <v>6</v>
      </c>
      <c r="K9" s="17">
        <v>6</v>
      </c>
      <c r="L9" s="17">
        <v>0</v>
      </c>
      <c r="M9" s="17">
        <v>0</v>
      </c>
      <c r="N9" s="17">
        <v>0</v>
      </c>
    </row>
    <row r="10" spans="1:14" x14ac:dyDescent="0.25">
      <c r="A10" s="7" t="s">
        <v>22</v>
      </c>
      <c r="B10" s="18">
        <v>2.2999999999999998</v>
      </c>
      <c r="C10" s="7" t="s">
        <v>23</v>
      </c>
      <c r="D10" s="17">
        <v>18</v>
      </c>
      <c r="E10" s="17">
        <v>2</v>
      </c>
      <c r="F10" s="17">
        <v>85</v>
      </c>
      <c r="G10" s="17">
        <v>0</v>
      </c>
      <c r="H10" s="17">
        <v>18</v>
      </c>
      <c r="I10" s="17">
        <v>12</v>
      </c>
      <c r="J10" s="17">
        <v>6</v>
      </c>
      <c r="K10" s="17">
        <v>6</v>
      </c>
      <c r="L10" s="17">
        <v>0</v>
      </c>
      <c r="M10" s="17">
        <v>0</v>
      </c>
      <c r="N10" s="17">
        <v>0</v>
      </c>
    </row>
    <row r="11" spans="1:14" x14ac:dyDescent="0.25">
      <c r="A11" s="7" t="s">
        <v>22</v>
      </c>
      <c r="B11" s="18">
        <v>2.4</v>
      </c>
      <c r="C11" s="7" t="s">
        <v>24</v>
      </c>
      <c r="D11" s="17">
        <v>30</v>
      </c>
      <c r="E11" s="17">
        <v>3</v>
      </c>
      <c r="F11" s="17">
        <v>95</v>
      </c>
      <c r="G11" s="17">
        <v>0</v>
      </c>
      <c r="H11" s="17">
        <v>30</v>
      </c>
      <c r="I11" s="17">
        <v>0</v>
      </c>
      <c r="J11" s="17">
        <v>30</v>
      </c>
      <c r="K11" s="17">
        <v>15</v>
      </c>
      <c r="L11" s="17">
        <v>15</v>
      </c>
      <c r="M11" s="17">
        <v>15</v>
      </c>
      <c r="N11" s="17">
        <v>0</v>
      </c>
    </row>
    <row r="12" spans="1:14" x14ac:dyDescent="0.25">
      <c r="A12" s="7" t="s">
        <v>22</v>
      </c>
      <c r="B12" s="18">
        <v>2.5</v>
      </c>
      <c r="C12" s="7" t="s">
        <v>25</v>
      </c>
      <c r="D12" s="17">
        <v>18</v>
      </c>
      <c r="E12" s="17">
        <v>3</v>
      </c>
      <c r="F12" s="17">
        <v>95</v>
      </c>
      <c r="G12" s="17">
        <v>0</v>
      </c>
      <c r="H12" s="17">
        <v>18</v>
      </c>
      <c r="I12" s="17">
        <v>0</v>
      </c>
      <c r="J12" s="17">
        <v>18</v>
      </c>
      <c r="K12" s="17">
        <v>10</v>
      </c>
      <c r="L12" s="17">
        <v>8</v>
      </c>
      <c r="M12" s="17">
        <v>8</v>
      </c>
      <c r="N12" s="17">
        <v>0</v>
      </c>
    </row>
    <row r="13" spans="1:14" x14ac:dyDescent="0.25">
      <c r="A13" s="7" t="s">
        <v>22</v>
      </c>
      <c r="B13" s="18">
        <v>2.6</v>
      </c>
      <c r="C13" s="7" t="s">
        <v>13</v>
      </c>
      <c r="D13" s="17">
        <v>10</v>
      </c>
      <c r="E13" s="17">
        <v>3</v>
      </c>
      <c r="F13" s="17">
        <v>95</v>
      </c>
      <c r="G13" s="17">
        <v>0</v>
      </c>
      <c r="H13" s="17">
        <v>10</v>
      </c>
      <c r="I13" s="17">
        <v>0</v>
      </c>
      <c r="J13" s="17">
        <v>10</v>
      </c>
      <c r="K13" s="17">
        <v>6</v>
      </c>
      <c r="L13" s="17">
        <v>4</v>
      </c>
      <c r="M13" s="17">
        <v>4</v>
      </c>
      <c r="N13" s="17">
        <v>0</v>
      </c>
    </row>
    <row r="15" spans="1:14" x14ac:dyDescent="0.25">
      <c r="A15" s="2" t="s">
        <v>26</v>
      </c>
      <c r="B15" s="19">
        <v>3.1</v>
      </c>
      <c r="C15" s="2" t="s">
        <v>27</v>
      </c>
      <c r="D15" s="17">
        <v>14</v>
      </c>
      <c r="E15" s="17">
        <v>2</v>
      </c>
      <c r="F15" s="17">
        <v>70</v>
      </c>
      <c r="G15" s="17">
        <v>0</v>
      </c>
      <c r="H15" s="17">
        <v>14</v>
      </c>
      <c r="I15" s="17">
        <v>9</v>
      </c>
      <c r="J15" s="17">
        <v>5</v>
      </c>
      <c r="K15" s="17">
        <v>5</v>
      </c>
      <c r="L15" s="17">
        <v>0</v>
      </c>
      <c r="M15" s="17">
        <v>0</v>
      </c>
      <c r="N15" s="17">
        <v>0</v>
      </c>
    </row>
    <row r="16" spans="1:14" x14ac:dyDescent="0.25">
      <c r="A16" s="2" t="s">
        <v>26</v>
      </c>
      <c r="B16" s="19">
        <v>3.2</v>
      </c>
      <c r="C16" s="2" t="s">
        <v>28</v>
      </c>
      <c r="D16" s="17">
        <v>12</v>
      </c>
      <c r="E16" s="17">
        <v>2</v>
      </c>
      <c r="F16" s="17">
        <v>70</v>
      </c>
      <c r="G16" s="17">
        <v>0</v>
      </c>
      <c r="H16" s="17">
        <v>12</v>
      </c>
      <c r="I16" s="17">
        <v>8</v>
      </c>
      <c r="J16" s="17">
        <v>4</v>
      </c>
      <c r="K16" s="17">
        <v>4</v>
      </c>
      <c r="L16" s="17">
        <v>0</v>
      </c>
      <c r="M16" s="17">
        <v>0</v>
      </c>
      <c r="N16" s="17">
        <v>0</v>
      </c>
    </row>
    <row r="17" spans="1:14" x14ac:dyDescent="0.25">
      <c r="A17" s="2" t="s">
        <v>26</v>
      </c>
      <c r="B17" s="19">
        <v>3.3</v>
      </c>
      <c r="C17" s="2" t="s">
        <v>29</v>
      </c>
      <c r="D17" s="17">
        <v>10</v>
      </c>
      <c r="E17" s="17">
        <v>3</v>
      </c>
      <c r="F17" s="17">
        <v>70</v>
      </c>
      <c r="G17" s="17">
        <v>0</v>
      </c>
      <c r="H17" s="17">
        <v>10</v>
      </c>
      <c r="I17" s="17">
        <v>0</v>
      </c>
      <c r="J17" s="17">
        <v>10</v>
      </c>
      <c r="K17" s="17">
        <v>6</v>
      </c>
      <c r="L17" s="17">
        <v>4</v>
      </c>
      <c r="M17" s="17">
        <v>4</v>
      </c>
      <c r="N17" s="17">
        <v>0</v>
      </c>
    </row>
    <row r="18" spans="1:14" x14ac:dyDescent="0.25">
      <c r="A18" s="2" t="s">
        <v>26</v>
      </c>
      <c r="B18" s="19">
        <v>3.4</v>
      </c>
      <c r="C18" s="2" t="s">
        <v>30</v>
      </c>
      <c r="D18" s="17">
        <v>10</v>
      </c>
      <c r="E18" s="17">
        <v>3</v>
      </c>
      <c r="F18" s="17">
        <v>70</v>
      </c>
      <c r="G18" s="17">
        <v>0</v>
      </c>
      <c r="H18" s="17">
        <v>10</v>
      </c>
      <c r="I18" s="17">
        <v>0</v>
      </c>
      <c r="J18" s="17">
        <v>10</v>
      </c>
      <c r="K18" s="17">
        <v>6</v>
      </c>
      <c r="L18" s="17">
        <v>4</v>
      </c>
      <c r="M18" s="17">
        <v>4</v>
      </c>
      <c r="N18" s="17">
        <v>0</v>
      </c>
    </row>
    <row r="19" spans="1:14" x14ac:dyDescent="0.25">
      <c r="A19" s="2" t="s">
        <v>26</v>
      </c>
      <c r="B19" s="19">
        <v>3.5</v>
      </c>
      <c r="C19" s="2" t="s">
        <v>31</v>
      </c>
      <c r="D19" s="17">
        <v>16</v>
      </c>
      <c r="E19" s="17">
        <v>4</v>
      </c>
      <c r="F19" s="17">
        <v>70</v>
      </c>
      <c r="G19" s="17">
        <v>0</v>
      </c>
      <c r="H19" s="17">
        <v>16</v>
      </c>
      <c r="I19" s="17">
        <v>0</v>
      </c>
      <c r="J19" s="17">
        <v>16</v>
      </c>
      <c r="K19" s="17">
        <v>0</v>
      </c>
      <c r="L19" s="17">
        <v>16</v>
      </c>
      <c r="M19" s="17">
        <v>9</v>
      </c>
      <c r="N19" s="17">
        <v>7</v>
      </c>
    </row>
    <row r="21" spans="1:14" x14ac:dyDescent="0.25">
      <c r="A21" s="4" t="s">
        <v>32</v>
      </c>
      <c r="B21" s="20">
        <v>4.0999999999999996</v>
      </c>
      <c r="C21" s="4" t="s">
        <v>33</v>
      </c>
      <c r="D21" s="17">
        <v>14</v>
      </c>
      <c r="E21" s="17">
        <v>3</v>
      </c>
      <c r="F21" s="17">
        <v>65</v>
      </c>
      <c r="G21" s="17">
        <v>0</v>
      </c>
      <c r="H21" s="17">
        <v>14</v>
      </c>
      <c r="I21" s="17">
        <v>0</v>
      </c>
      <c r="J21" s="17">
        <v>14</v>
      </c>
      <c r="K21" s="17">
        <v>8</v>
      </c>
      <c r="L21" s="17">
        <v>6</v>
      </c>
      <c r="M21" s="17">
        <v>6</v>
      </c>
      <c r="N21" s="17">
        <v>0</v>
      </c>
    </row>
    <row r="22" spans="1:14" x14ac:dyDescent="0.25">
      <c r="A22" s="4" t="s">
        <v>32</v>
      </c>
      <c r="B22" s="20">
        <v>4.2</v>
      </c>
      <c r="C22" s="4" t="s">
        <v>34</v>
      </c>
      <c r="D22" s="17">
        <v>18</v>
      </c>
      <c r="E22" s="17">
        <v>3</v>
      </c>
      <c r="F22" s="17">
        <v>65</v>
      </c>
      <c r="G22" s="17">
        <v>0</v>
      </c>
      <c r="H22" s="17">
        <v>18</v>
      </c>
      <c r="I22" s="17">
        <v>0</v>
      </c>
      <c r="J22" s="17">
        <v>18</v>
      </c>
      <c r="K22" s="17">
        <v>10</v>
      </c>
      <c r="L22" s="17">
        <v>8</v>
      </c>
      <c r="M22" s="17">
        <v>8</v>
      </c>
      <c r="N22" s="17">
        <v>0</v>
      </c>
    </row>
    <row r="23" spans="1:14" x14ac:dyDescent="0.25">
      <c r="A23" s="4" t="s">
        <v>32</v>
      </c>
      <c r="B23" s="20">
        <v>4.3</v>
      </c>
      <c r="C23" s="4" t="s">
        <v>35</v>
      </c>
      <c r="D23" s="17">
        <v>10</v>
      </c>
      <c r="E23" s="17">
        <v>4</v>
      </c>
      <c r="F23" s="17">
        <v>65</v>
      </c>
      <c r="G23" s="17">
        <v>0</v>
      </c>
      <c r="H23" s="17">
        <v>10</v>
      </c>
      <c r="I23" s="17">
        <v>0</v>
      </c>
      <c r="J23" s="17">
        <v>10</v>
      </c>
      <c r="K23" s="17">
        <v>0</v>
      </c>
      <c r="L23" s="17">
        <v>10</v>
      </c>
      <c r="M23" s="17">
        <v>6</v>
      </c>
      <c r="N23" s="17">
        <v>4</v>
      </c>
    </row>
    <row r="24" spans="1:14" x14ac:dyDescent="0.25">
      <c r="A24" s="4" t="s">
        <v>32</v>
      </c>
      <c r="B24" s="20">
        <v>4.4000000000000004</v>
      </c>
      <c r="C24" s="4" t="s">
        <v>36</v>
      </c>
      <c r="D24" s="17">
        <v>14</v>
      </c>
      <c r="E24" s="17">
        <v>4</v>
      </c>
      <c r="F24" s="17">
        <v>65</v>
      </c>
      <c r="G24" s="17">
        <v>0</v>
      </c>
      <c r="H24" s="17">
        <v>14</v>
      </c>
      <c r="I24" s="17">
        <v>0</v>
      </c>
      <c r="J24" s="17">
        <v>14</v>
      </c>
      <c r="K24" s="17">
        <v>0</v>
      </c>
      <c r="L24" s="17">
        <v>14</v>
      </c>
      <c r="M24" s="17">
        <v>8</v>
      </c>
      <c r="N24" s="17">
        <v>6</v>
      </c>
    </row>
    <row r="26" spans="1:14" x14ac:dyDescent="0.25">
      <c r="A26" s="3" t="s">
        <v>37</v>
      </c>
      <c r="B26" s="21">
        <v>5.0999999999999996</v>
      </c>
      <c r="C26" s="3" t="s">
        <v>14</v>
      </c>
      <c r="D26" s="17">
        <v>16</v>
      </c>
      <c r="E26" s="17">
        <v>4</v>
      </c>
      <c r="F26" s="17">
        <v>60</v>
      </c>
      <c r="G26" s="17">
        <v>0</v>
      </c>
      <c r="H26" s="17">
        <v>16</v>
      </c>
      <c r="I26" s="17">
        <v>0</v>
      </c>
      <c r="J26" s="17">
        <v>16</v>
      </c>
      <c r="K26" s="17">
        <v>0</v>
      </c>
      <c r="L26" s="17">
        <v>16</v>
      </c>
      <c r="M26" s="17">
        <v>9</v>
      </c>
      <c r="N26" s="17">
        <v>7</v>
      </c>
    </row>
    <row r="27" spans="1:14" x14ac:dyDescent="0.25">
      <c r="A27" s="3" t="s">
        <v>37</v>
      </c>
      <c r="B27" s="21">
        <v>5.2</v>
      </c>
      <c r="C27" s="3" t="s">
        <v>15</v>
      </c>
      <c r="D27" s="17">
        <v>10</v>
      </c>
      <c r="E27" s="17">
        <v>4</v>
      </c>
      <c r="F27" s="17">
        <v>60</v>
      </c>
      <c r="G27" s="17">
        <v>0</v>
      </c>
      <c r="H27" s="17">
        <v>10</v>
      </c>
      <c r="I27" s="17">
        <v>0</v>
      </c>
      <c r="J27" s="17">
        <v>10</v>
      </c>
      <c r="K27" s="17">
        <v>0</v>
      </c>
      <c r="L27" s="17">
        <v>10</v>
      </c>
      <c r="M27" s="17">
        <v>6</v>
      </c>
      <c r="N27" s="17">
        <v>4</v>
      </c>
    </row>
    <row r="28" spans="1:14" x14ac:dyDescent="0.25">
      <c r="A28" s="3" t="s">
        <v>37</v>
      </c>
      <c r="B28" s="21">
        <v>5.3</v>
      </c>
      <c r="C28" s="3" t="s">
        <v>16</v>
      </c>
      <c r="D28" s="17">
        <v>6</v>
      </c>
      <c r="E28" s="17">
        <v>4</v>
      </c>
      <c r="F28" s="17">
        <v>60</v>
      </c>
      <c r="G28" s="17">
        <v>0</v>
      </c>
      <c r="H28" s="17">
        <v>6</v>
      </c>
      <c r="I28" s="17">
        <v>0</v>
      </c>
      <c r="J28" s="17">
        <v>6</v>
      </c>
      <c r="K28" s="17">
        <v>0</v>
      </c>
      <c r="L28" s="17">
        <v>6</v>
      </c>
      <c r="M28" s="17">
        <v>4</v>
      </c>
      <c r="N28" s="17">
        <v>2</v>
      </c>
    </row>
    <row r="29" spans="1:14" x14ac:dyDescent="0.25">
      <c r="A29" s="3" t="s">
        <v>37</v>
      </c>
      <c r="B29" s="21">
        <v>5.4</v>
      </c>
      <c r="C29" s="3" t="s">
        <v>17</v>
      </c>
      <c r="D29" s="17">
        <v>12</v>
      </c>
      <c r="E29" s="17">
        <v>4</v>
      </c>
      <c r="F29" s="17">
        <v>60</v>
      </c>
      <c r="G29" s="17">
        <v>0</v>
      </c>
      <c r="H29" s="17">
        <v>12</v>
      </c>
      <c r="I29" s="17">
        <v>0</v>
      </c>
      <c r="J29" s="17">
        <v>12</v>
      </c>
      <c r="K29" s="17">
        <v>0</v>
      </c>
      <c r="L29" s="17">
        <v>12</v>
      </c>
      <c r="M29" s="17">
        <v>7</v>
      </c>
      <c r="N29" s="17">
        <v>5</v>
      </c>
    </row>
    <row r="31" spans="1:14" x14ac:dyDescent="0.25">
      <c r="A31" s="6" t="s">
        <v>38</v>
      </c>
      <c r="B31" s="22">
        <v>6.1</v>
      </c>
      <c r="C31" s="6" t="s">
        <v>18</v>
      </c>
      <c r="D31" s="17">
        <v>14</v>
      </c>
      <c r="E31" s="17">
        <v>4</v>
      </c>
      <c r="F31" s="17">
        <v>60</v>
      </c>
      <c r="G31" s="17">
        <v>0</v>
      </c>
      <c r="H31" s="17">
        <v>14</v>
      </c>
      <c r="I31" s="17">
        <v>0</v>
      </c>
      <c r="J31" s="17">
        <v>14</v>
      </c>
      <c r="K31" s="17">
        <v>0</v>
      </c>
      <c r="L31" s="17">
        <v>14</v>
      </c>
      <c r="M31" s="17">
        <v>8</v>
      </c>
      <c r="N31" s="17">
        <v>6</v>
      </c>
    </row>
    <row r="32" spans="1:14" x14ac:dyDescent="0.25">
      <c r="A32" s="6" t="s">
        <v>38</v>
      </c>
      <c r="B32" s="22">
        <v>6.2</v>
      </c>
      <c r="C32" s="6" t="s">
        <v>19</v>
      </c>
      <c r="D32" s="17">
        <v>10</v>
      </c>
      <c r="E32" s="17">
        <v>4</v>
      </c>
      <c r="F32" s="17">
        <v>60</v>
      </c>
      <c r="G32" s="17">
        <v>0</v>
      </c>
      <c r="H32" s="17">
        <v>10</v>
      </c>
      <c r="I32" s="17">
        <v>0</v>
      </c>
      <c r="J32" s="17">
        <v>10</v>
      </c>
      <c r="K32" s="17">
        <v>0</v>
      </c>
      <c r="L32" s="17">
        <v>10</v>
      </c>
      <c r="M32" s="17">
        <v>6</v>
      </c>
      <c r="N32" s="17">
        <v>4</v>
      </c>
    </row>
    <row r="33" spans="1:14" x14ac:dyDescent="0.25">
      <c r="A33" s="6" t="s">
        <v>38</v>
      </c>
      <c r="B33" s="22">
        <v>6.3</v>
      </c>
      <c r="C33" s="6" t="s">
        <v>20</v>
      </c>
      <c r="D33" s="17">
        <v>10</v>
      </c>
      <c r="E33" s="17">
        <v>4</v>
      </c>
      <c r="F33" s="17">
        <v>60</v>
      </c>
      <c r="G33" s="17">
        <v>0</v>
      </c>
      <c r="H33" s="17">
        <v>10</v>
      </c>
      <c r="I33" s="17">
        <v>0</v>
      </c>
      <c r="J33" s="17">
        <v>10</v>
      </c>
      <c r="K33" s="17">
        <v>0</v>
      </c>
      <c r="L33" s="17">
        <v>10</v>
      </c>
      <c r="M33" s="17">
        <v>5</v>
      </c>
      <c r="N33" s="17">
        <v>5</v>
      </c>
    </row>
    <row r="35" spans="1:14" x14ac:dyDescent="0.25">
      <c r="D35" s="17">
        <f>SUM(D2:D33)</f>
        <v>350</v>
      </c>
      <c r="G35" s="17">
        <f>SUM(G2:G33)</f>
        <v>50</v>
      </c>
      <c r="I35" s="17">
        <f>SUM(I2:I33)</f>
        <v>47</v>
      </c>
      <c r="K35" s="17">
        <f>SUM(K2:K33)</f>
        <v>86</v>
      </c>
      <c r="M35" s="17">
        <f>SUM(M2:M33)</f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8BA4-9685-4F2B-9B1E-452546453590}">
  <dimension ref="A1:W38"/>
  <sheetViews>
    <sheetView zoomScale="108" workbookViewId="0">
      <selection activeCell="W3" sqref="W3"/>
    </sheetView>
  </sheetViews>
  <sheetFormatPr defaultRowHeight="15" x14ac:dyDescent="0.25"/>
  <cols>
    <col min="1" max="1" width="24.85546875" customWidth="1"/>
    <col min="2" max="2" width="17.140625" customWidth="1"/>
    <col min="3" max="3" width="10.28515625" customWidth="1"/>
    <col min="4" max="4" width="10.7109375" customWidth="1"/>
    <col min="5" max="6" width="10.28515625" customWidth="1"/>
    <col min="7" max="7" width="18" customWidth="1"/>
    <col min="8" max="8" width="16.42578125" customWidth="1"/>
    <col min="10" max="10" width="11.28515625" customWidth="1"/>
    <col min="13" max="13" width="28.28515625" customWidth="1"/>
    <col min="14" max="14" width="16.42578125" customWidth="1"/>
    <col min="16" max="16" width="10.5703125" customWidth="1"/>
    <col min="19" max="19" width="24.140625" customWidth="1"/>
    <col min="20" max="20" width="16.28515625" customWidth="1"/>
  </cols>
  <sheetData>
    <row r="1" spans="1:23" ht="15.75" customHeight="1" x14ac:dyDescent="0.25"/>
    <row r="2" spans="1:23" ht="18.75" x14ac:dyDescent="0.3">
      <c r="A2" s="1"/>
      <c r="B2" s="9" t="s">
        <v>2</v>
      </c>
      <c r="C2" s="1"/>
      <c r="D2" s="1"/>
      <c r="E2" s="1"/>
      <c r="G2" s="1"/>
      <c r="H2" s="9" t="s">
        <v>3</v>
      </c>
      <c r="I2" s="1"/>
      <c r="J2" s="1"/>
      <c r="K2" s="1"/>
      <c r="M2" s="1"/>
      <c r="N2" s="9" t="s">
        <v>4</v>
      </c>
      <c r="O2" s="1"/>
      <c r="P2" s="1"/>
      <c r="Q2" s="1"/>
      <c r="S2" s="1"/>
      <c r="T2" s="9" t="s">
        <v>5</v>
      </c>
      <c r="U2" s="1"/>
      <c r="V2" s="1"/>
      <c r="W2" s="1"/>
    </row>
    <row r="3" spans="1:23" x14ac:dyDescent="0.25">
      <c r="A3" s="10" t="s">
        <v>51</v>
      </c>
      <c r="B3" s="10" t="s">
        <v>57</v>
      </c>
      <c r="C3" s="10" t="s">
        <v>61</v>
      </c>
      <c r="D3" s="10" t="s">
        <v>62</v>
      </c>
      <c r="E3" s="10" t="s">
        <v>63</v>
      </c>
      <c r="G3" s="10" t="s">
        <v>51</v>
      </c>
      <c r="H3" s="10" t="s">
        <v>57</v>
      </c>
      <c r="I3" s="10" t="s">
        <v>61</v>
      </c>
      <c r="J3" s="10" t="s">
        <v>62</v>
      </c>
      <c r="K3" s="10" t="s">
        <v>63</v>
      </c>
      <c r="M3" s="10" t="s">
        <v>51</v>
      </c>
      <c r="N3" s="10" t="s">
        <v>57</v>
      </c>
      <c r="O3" s="10" t="s">
        <v>61</v>
      </c>
      <c r="P3" s="10" t="s">
        <v>62</v>
      </c>
      <c r="Q3" s="10" t="s">
        <v>63</v>
      </c>
      <c r="S3" s="10" t="s">
        <v>51</v>
      </c>
      <c r="T3" s="10" t="s">
        <v>57</v>
      </c>
      <c r="U3" s="10" t="s">
        <v>61</v>
      </c>
      <c r="V3" s="10" t="s">
        <v>62</v>
      </c>
      <c r="W3" s="36" t="s">
        <v>63</v>
      </c>
    </row>
    <row r="4" spans="1:23" x14ac:dyDescent="0.25">
      <c r="A4" s="1" t="s">
        <v>52</v>
      </c>
      <c r="B4" s="11" t="s">
        <v>58</v>
      </c>
      <c r="C4" s="1">
        <v>1.5</v>
      </c>
      <c r="D4" s="12">
        <v>1</v>
      </c>
      <c r="E4" s="1">
        <f>C4*D4</f>
        <v>1.5</v>
      </c>
      <c r="G4" s="1" t="s">
        <v>52</v>
      </c>
      <c r="H4" s="11" t="s">
        <v>58</v>
      </c>
      <c r="I4" s="1">
        <v>1.5</v>
      </c>
      <c r="J4" s="12">
        <v>1</v>
      </c>
      <c r="K4" s="1">
        <f>I4*J4</f>
        <v>1.5</v>
      </c>
      <c r="M4" s="1" t="s">
        <v>52</v>
      </c>
      <c r="N4" s="11" t="s">
        <v>58</v>
      </c>
      <c r="O4" s="1">
        <v>1.5</v>
      </c>
      <c r="P4" s="12">
        <v>0.75</v>
      </c>
      <c r="Q4" s="1">
        <f>O4*P4</f>
        <v>1.125</v>
      </c>
      <c r="S4" s="1" t="s">
        <v>52</v>
      </c>
      <c r="T4" s="11" t="s">
        <v>58</v>
      </c>
      <c r="U4" s="1">
        <v>1.5</v>
      </c>
      <c r="V4" s="12">
        <v>0.95</v>
      </c>
      <c r="W4" s="1">
        <f>U4*V4</f>
        <v>1.4249999999999998</v>
      </c>
    </row>
    <row r="5" spans="1:23" x14ac:dyDescent="0.25">
      <c r="A5" s="1" t="s">
        <v>53</v>
      </c>
      <c r="B5" s="11" t="s">
        <v>59</v>
      </c>
      <c r="C5" s="1">
        <v>0.9</v>
      </c>
      <c r="D5" s="12">
        <v>0.6</v>
      </c>
      <c r="E5" s="1">
        <f t="shared" ref="E5:E8" si="0">C5*D5</f>
        <v>0.54</v>
      </c>
      <c r="G5" s="1" t="s">
        <v>53</v>
      </c>
      <c r="H5" s="11" t="s">
        <v>59</v>
      </c>
      <c r="I5" s="1">
        <v>0.9</v>
      </c>
      <c r="J5" s="12">
        <v>1</v>
      </c>
      <c r="K5" s="1">
        <f t="shared" ref="K5:K8" si="1">I5*J5</f>
        <v>0.9</v>
      </c>
      <c r="M5" s="1" t="s">
        <v>53</v>
      </c>
      <c r="N5" s="11" t="s">
        <v>59</v>
      </c>
      <c r="O5" s="1">
        <v>0.9</v>
      </c>
      <c r="P5" s="12">
        <v>1</v>
      </c>
      <c r="Q5" s="1">
        <f t="shared" ref="Q5:Q8" si="2">O5*P5</f>
        <v>0.9</v>
      </c>
      <c r="S5" s="1" t="s">
        <v>53</v>
      </c>
      <c r="T5" s="11" t="s">
        <v>59</v>
      </c>
      <c r="U5" s="1">
        <v>0.9</v>
      </c>
      <c r="V5" s="12">
        <v>1</v>
      </c>
      <c r="W5" s="1">
        <f t="shared" ref="W5:W8" si="3">U5*V5</f>
        <v>0.9</v>
      </c>
    </row>
    <row r="6" spans="1:23" x14ac:dyDescent="0.25">
      <c r="A6" s="1" t="s">
        <v>54</v>
      </c>
      <c r="B6" s="11" t="s">
        <v>60</v>
      </c>
      <c r="C6" s="1">
        <v>1.2</v>
      </c>
      <c r="D6" s="12">
        <v>1</v>
      </c>
      <c r="E6" s="1">
        <f t="shared" si="0"/>
        <v>1.2</v>
      </c>
      <c r="G6" s="1" t="s">
        <v>54</v>
      </c>
      <c r="H6" s="11" t="s">
        <v>60</v>
      </c>
      <c r="I6" s="1">
        <v>1.2</v>
      </c>
      <c r="J6" s="12">
        <v>0.8</v>
      </c>
      <c r="K6" s="1">
        <f t="shared" si="1"/>
        <v>0.96</v>
      </c>
      <c r="M6" s="1" t="s">
        <v>54</v>
      </c>
      <c r="N6" s="11" t="s">
        <v>60</v>
      </c>
      <c r="O6" s="1">
        <v>1.2</v>
      </c>
      <c r="P6" s="12">
        <v>0.95</v>
      </c>
      <c r="Q6" s="1">
        <f t="shared" si="2"/>
        <v>1.1399999999999999</v>
      </c>
      <c r="S6" s="1" t="s">
        <v>54</v>
      </c>
      <c r="T6" s="11" t="s">
        <v>60</v>
      </c>
      <c r="U6" s="1">
        <v>1.2</v>
      </c>
      <c r="V6" s="12">
        <v>1</v>
      </c>
      <c r="W6" s="1">
        <f t="shared" si="3"/>
        <v>1.2</v>
      </c>
    </row>
    <row r="7" spans="1:23" x14ac:dyDescent="0.25">
      <c r="A7" s="1" t="s">
        <v>55</v>
      </c>
      <c r="B7" s="11" t="s">
        <v>59</v>
      </c>
      <c r="C7" s="1">
        <v>0.9</v>
      </c>
      <c r="D7" s="12">
        <v>0.9</v>
      </c>
      <c r="E7" s="1">
        <f t="shared" si="0"/>
        <v>0.81</v>
      </c>
      <c r="G7" s="1" t="s">
        <v>55</v>
      </c>
      <c r="H7" s="11" t="s">
        <v>59</v>
      </c>
      <c r="I7" s="1">
        <v>0.9</v>
      </c>
      <c r="J7" s="12">
        <v>1</v>
      </c>
      <c r="K7" s="1">
        <f t="shared" si="1"/>
        <v>0.9</v>
      </c>
      <c r="M7" s="1" t="s">
        <v>55</v>
      </c>
      <c r="N7" s="11" t="s">
        <v>59</v>
      </c>
      <c r="O7" s="1">
        <v>0.9</v>
      </c>
      <c r="P7" s="12">
        <v>0.8</v>
      </c>
      <c r="Q7" s="1">
        <f t="shared" si="2"/>
        <v>0.72000000000000008</v>
      </c>
      <c r="S7" s="1" t="s">
        <v>55</v>
      </c>
      <c r="T7" s="11" t="s">
        <v>59</v>
      </c>
      <c r="U7" s="1">
        <v>0.9</v>
      </c>
      <c r="V7" s="12">
        <v>1</v>
      </c>
      <c r="W7" s="1">
        <f t="shared" si="3"/>
        <v>0.9</v>
      </c>
    </row>
    <row r="8" spans="1:23" x14ac:dyDescent="0.25">
      <c r="A8" s="1" t="s">
        <v>56</v>
      </c>
      <c r="B8" s="11" t="s">
        <v>60</v>
      </c>
      <c r="C8" s="1">
        <v>1.2</v>
      </c>
      <c r="D8" s="12">
        <v>1</v>
      </c>
      <c r="E8" s="1">
        <f t="shared" si="0"/>
        <v>1.2</v>
      </c>
      <c r="G8" s="1" t="s">
        <v>56</v>
      </c>
      <c r="H8" s="11" t="s">
        <v>60</v>
      </c>
      <c r="I8" s="1">
        <v>1.2</v>
      </c>
      <c r="J8" s="12">
        <v>1</v>
      </c>
      <c r="K8" s="1">
        <f t="shared" si="1"/>
        <v>1.2</v>
      </c>
      <c r="M8" s="1" t="s">
        <v>56</v>
      </c>
      <c r="N8" s="11" t="s">
        <v>60</v>
      </c>
      <c r="O8" s="1">
        <v>1.2</v>
      </c>
      <c r="P8" s="12">
        <v>0.6</v>
      </c>
      <c r="Q8" s="1">
        <f t="shared" si="2"/>
        <v>0.72</v>
      </c>
      <c r="S8" s="1" t="s">
        <v>56</v>
      </c>
      <c r="T8" s="11" t="s">
        <v>60</v>
      </c>
      <c r="U8" s="1">
        <v>1.2</v>
      </c>
      <c r="V8" s="12">
        <v>0.5</v>
      </c>
      <c r="W8" s="1">
        <f t="shared" si="3"/>
        <v>0.6</v>
      </c>
    </row>
    <row r="10" spans="1:23" x14ac:dyDescent="0.25">
      <c r="C10" s="1">
        <v>5.7</v>
      </c>
      <c r="D10" s="8">
        <f>SUM(D4:D8)</f>
        <v>4.5</v>
      </c>
      <c r="E10">
        <v>5.25</v>
      </c>
      <c r="I10" s="1">
        <v>5.7</v>
      </c>
      <c r="J10" s="8">
        <f>SUM(J4:J8)</f>
        <v>4.8</v>
      </c>
      <c r="K10">
        <v>5.46</v>
      </c>
      <c r="O10" s="1">
        <v>5.7</v>
      </c>
      <c r="P10" s="8">
        <f>SUM(P4:P8)</f>
        <v>4.0999999999999996</v>
      </c>
      <c r="Q10">
        <v>4.6050000000000004</v>
      </c>
      <c r="U10" s="1">
        <v>5.7</v>
      </c>
      <c r="V10" s="8">
        <f>SUM(V4:V8)</f>
        <v>4.45</v>
      </c>
      <c r="W10">
        <v>5.0250000000000004</v>
      </c>
    </row>
    <row r="12" spans="1:23" x14ac:dyDescent="0.25">
      <c r="B12" s="39"/>
      <c r="C12" s="40"/>
      <c r="D12" s="13"/>
      <c r="E12" s="13"/>
      <c r="H12" s="39"/>
      <c r="I12" s="40"/>
      <c r="J12" s="13"/>
      <c r="K12" s="13"/>
    </row>
    <row r="13" spans="1:23" x14ac:dyDescent="0.25">
      <c r="B13" s="39"/>
      <c r="C13" s="40"/>
      <c r="D13" s="13"/>
      <c r="E13" s="13"/>
      <c r="H13" s="39"/>
      <c r="I13" s="40"/>
      <c r="J13" s="13"/>
      <c r="K13" s="13"/>
      <c r="M13" s="39"/>
      <c r="N13" s="40"/>
      <c r="O13" s="13"/>
      <c r="P13" s="13"/>
      <c r="S13" s="39"/>
      <c r="T13" s="40"/>
      <c r="U13" s="13"/>
      <c r="V13" s="13"/>
    </row>
    <row r="14" spans="1:23" x14ac:dyDescent="0.25">
      <c r="B14" s="37"/>
      <c r="C14" s="38"/>
      <c r="D14" s="25"/>
      <c r="E14" s="13"/>
      <c r="H14" s="37"/>
      <c r="I14" s="38"/>
      <c r="J14" s="25"/>
      <c r="K14" s="13"/>
      <c r="M14" s="39"/>
      <c r="N14" s="40"/>
      <c r="O14" s="13"/>
      <c r="P14" s="13"/>
      <c r="S14" s="39"/>
      <c r="T14" s="40"/>
      <c r="U14" s="13"/>
      <c r="V14" s="13"/>
    </row>
    <row r="15" spans="1:23" x14ac:dyDescent="0.25">
      <c r="B15" s="39"/>
      <c r="C15" s="40"/>
      <c r="D15" s="26"/>
      <c r="E15" s="13"/>
      <c r="H15" s="39"/>
      <c r="I15" s="40"/>
      <c r="J15" s="26"/>
      <c r="K15" s="13"/>
      <c r="M15" s="37"/>
      <c r="N15" s="38"/>
      <c r="O15" s="25"/>
      <c r="P15" s="13"/>
      <c r="S15" s="37"/>
      <c r="T15" s="38"/>
      <c r="U15" s="25"/>
      <c r="V15" s="13"/>
    </row>
    <row r="16" spans="1:23" x14ac:dyDescent="0.25">
      <c r="B16" s="37"/>
      <c r="C16" s="40"/>
      <c r="D16" s="27"/>
      <c r="E16" s="28"/>
      <c r="H16" s="37"/>
      <c r="I16" s="40"/>
      <c r="J16" s="27"/>
      <c r="K16" s="28"/>
      <c r="M16" s="39"/>
      <c r="N16" s="40"/>
      <c r="O16" s="26"/>
      <c r="P16" s="13"/>
      <c r="S16" s="39"/>
      <c r="T16" s="40"/>
      <c r="U16" s="26"/>
      <c r="V16" s="13"/>
    </row>
    <row r="17" spans="2:22" x14ac:dyDescent="0.25">
      <c r="B17" s="37"/>
      <c r="C17" s="38"/>
      <c r="E17" s="13"/>
      <c r="H17" s="37"/>
      <c r="I17" s="38"/>
      <c r="J17" s="27"/>
      <c r="K17" s="13"/>
      <c r="M17" s="37"/>
      <c r="N17" s="40"/>
      <c r="O17" s="27"/>
      <c r="P17" s="28"/>
      <c r="S17" s="37"/>
      <c r="T17" s="40"/>
      <c r="U17" s="27"/>
      <c r="V17" s="28"/>
    </row>
    <row r="18" spans="2:22" x14ac:dyDescent="0.25">
      <c r="B18" s="39"/>
      <c r="C18" s="38"/>
      <c r="D18" s="26"/>
      <c r="E18" s="13"/>
      <c r="H18" s="39"/>
      <c r="I18" s="38"/>
      <c r="J18" s="26"/>
      <c r="K18" s="13"/>
      <c r="M18" s="37"/>
      <c r="N18" s="38"/>
      <c r="O18" s="27"/>
      <c r="P18" s="13"/>
      <c r="S18" s="37"/>
      <c r="T18" s="38"/>
      <c r="U18" s="27"/>
      <c r="V18" s="13"/>
    </row>
    <row r="19" spans="2:22" x14ac:dyDescent="0.25">
      <c r="B19" s="37"/>
      <c r="C19" s="40"/>
      <c r="D19" s="27"/>
      <c r="E19" s="13"/>
      <c r="H19" s="37"/>
      <c r="I19" s="40"/>
      <c r="J19" s="27"/>
      <c r="K19" s="13"/>
      <c r="M19" s="39"/>
      <c r="N19" s="38"/>
      <c r="O19" s="26"/>
      <c r="P19" s="13"/>
      <c r="S19" s="39"/>
      <c r="T19" s="38"/>
      <c r="U19" s="26"/>
      <c r="V19" s="13"/>
    </row>
    <row r="20" spans="2:22" x14ac:dyDescent="0.25">
      <c r="B20" s="37"/>
      <c r="C20" s="38"/>
      <c r="D20" s="29"/>
      <c r="E20" s="13"/>
      <c r="H20" s="37"/>
      <c r="I20" s="38"/>
      <c r="J20" s="29"/>
      <c r="K20" s="13"/>
      <c r="M20" s="37"/>
      <c r="N20" s="40"/>
      <c r="O20" s="27"/>
      <c r="P20" s="13"/>
      <c r="S20" s="37"/>
      <c r="T20" s="40"/>
      <c r="U20" s="27"/>
      <c r="V20" s="13"/>
    </row>
    <row r="21" spans="2:22" x14ac:dyDescent="0.25">
      <c r="M21" s="37"/>
      <c r="N21" s="38"/>
      <c r="O21" s="29"/>
      <c r="P21" s="13"/>
      <c r="S21" s="37"/>
      <c r="T21" s="38"/>
      <c r="U21" s="29"/>
      <c r="V21" s="13"/>
    </row>
    <row r="23" spans="2:22" ht="15.75" x14ac:dyDescent="0.25">
      <c r="C23" s="30"/>
      <c r="D23" s="31"/>
      <c r="E23" s="31"/>
      <c r="F23" s="31"/>
      <c r="G23" s="31"/>
    </row>
    <row r="24" spans="2:22" ht="15.75" x14ac:dyDescent="0.25">
      <c r="C24" s="32" t="s">
        <v>66</v>
      </c>
      <c r="D24" s="33" t="s">
        <v>2</v>
      </c>
      <c r="E24" s="33" t="s">
        <v>3</v>
      </c>
      <c r="F24" s="32" t="s">
        <v>4</v>
      </c>
      <c r="G24" s="32" t="s">
        <v>5</v>
      </c>
    </row>
    <row r="25" spans="2:22" ht="15.75" x14ac:dyDescent="0.25">
      <c r="C25" s="34" t="s">
        <v>67</v>
      </c>
      <c r="D25" s="34">
        <v>5.25</v>
      </c>
      <c r="E25" s="34">
        <v>5.46</v>
      </c>
      <c r="F25" s="34">
        <v>4.6050000000000004</v>
      </c>
      <c r="G25" s="34">
        <v>5.0250000000000004</v>
      </c>
    </row>
    <row r="26" spans="2:22" ht="47.25" x14ac:dyDescent="0.25">
      <c r="C26" s="35" t="s">
        <v>68</v>
      </c>
      <c r="D26" s="34">
        <f>D25*5</f>
        <v>26.25</v>
      </c>
      <c r="E26" s="34">
        <f>E25*5</f>
        <v>27.3</v>
      </c>
      <c r="F26" s="34">
        <f>F25*5</f>
        <v>23.025000000000002</v>
      </c>
      <c r="G26" s="34">
        <f>G25*5</f>
        <v>25.125</v>
      </c>
    </row>
    <row r="27" spans="2:22" ht="15.75" x14ac:dyDescent="0.25">
      <c r="C27" s="34" t="s">
        <v>64</v>
      </c>
      <c r="D27" s="34">
        <f>D25</f>
        <v>5.25</v>
      </c>
      <c r="E27" s="34">
        <f>D27+E25</f>
        <v>10.71</v>
      </c>
      <c r="F27" s="34">
        <f>E27+F25</f>
        <v>15.315000000000001</v>
      </c>
      <c r="G27" s="34">
        <f>F27+G25</f>
        <v>20.340000000000003</v>
      </c>
    </row>
    <row r="28" spans="2:22" ht="31.5" x14ac:dyDescent="0.25">
      <c r="C28" s="35" t="s">
        <v>69</v>
      </c>
      <c r="D28" s="34">
        <f>50/350*100</f>
        <v>14.285714285714285</v>
      </c>
      <c r="E28" s="34">
        <f>47/350*100</f>
        <v>13.428571428571429</v>
      </c>
      <c r="F28" s="34">
        <f>86/350*100</f>
        <v>24.571428571428573</v>
      </c>
      <c r="G28" s="34">
        <f>117/350*100</f>
        <v>33.428571428571431</v>
      </c>
      <c r="M28" s="30"/>
      <c r="N28" s="31"/>
      <c r="O28" s="31"/>
      <c r="P28" s="31"/>
      <c r="Q28" s="31"/>
    </row>
    <row r="29" spans="2:22" ht="31.5" x14ac:dyDescent="0.25">
      <c r="C29" s="35" t="s">
        <v>70</v>
      </c>
      <c r="D29" s="34">
        <f>D28</f>
        <v>14.285714285714285</v>
      </c>
      <c r="E29" s="34">
        <f>D29+E28</f>
        <v>27.714285714285715</v>
      </c>
      <c r="F29" s="34">
        <f>E29+F28</f>
        <v>52.285714285714292</v>
      </c>
      <c r="G29" s="34">
        <f>F29+G28</f>
        <v>85.714285714285722</v>
      </c>
      <c r="M29" s="32"/>
      <c r="N29" s="33"/>
      <c r="O29" s="33"/>
      <c r="P29" s="32"/>
      <c r="Q29" s="32"/>
    </row>
    <row r="30" spans="2:22" ht="31.5" x14ac:dyDescent="0.25">
      <c r="C30" s="35" t="s">
        <v>72</v>
      </c>
      <c r="D30" s="34">
        <f>D29-(D27/$H$32*100)</f>
        <v>-11.525495153813736</v>
      </c>
      <c r="E30" s="34">
        <f>E29-(E27/$H$32*100)</f>
        <v>-24.940581542351445</v>
      </c>
      <c r="F30" s="34">
        <f>F29-(F27/$H$32*100)</f>
        <v>-23.009270965023163</v>
      </c>
      <c r="G30" s="34">
        <f>G29-(G27/$H$32*100)</f>
        <v>-14.285714285714278</v>
      </c>
      <c r="M30" s="34"/>
      <c r="N30" s="31"/>
      <c r="O30" s="31"/>
      <c r="P30" s="31"/>
      <c r="Q30" s="31"/>
    </row>
    <row r="31" spans="2:22" ht="31.5" x14ac:dyDescent="0.25">
      <c r="C31" s="35" t="s">
        <v>73</v>
      </c>
      <c r="D31" s="34">
        <f>50/350*100</f>
        <v>14.285714285714285</v>
      </c>
      <c r="E31" s="34">
        <f>54/350*100</f>
        <v>15.428571428571427</v>
      </c>
      <c r="F31" s="34">
        <f>86/350*100</f>
        <v>24.571428571428573</v>
      </c>
      <c r="G31" s="34">
        <f>160/350*100</f>
        <v>45.714285714285715</v>
      </c>
      <c r="M31" s="35"/>
      <c r="N31" s="31"/>
      <c r="O31" s="31"/>
      <c r="P31" s="31"/>
      <c r="Q31" s="31"/>
    </row>
    <row r="32" spans="2:22" ht="31.5" x14ac:dyDescent="0.25">
      <c r="C32" s="35" t="s">
        <v>71</v>
      </c>
      <c r="D32" s="34">
        <f>D31</f>
        <v>14.285714285714285</v>
      </c>
      <c r="E32" s="34">
        <f>D32+E31</f>
        <v>29.714285714285712</v>
      </c>
      <c r="F32" s="34">
        <f>E32+F31</f>
        <v>54.285714285714285</v>
      </c>
      <c r="G32" s="34">
        <f>F32+G31</f>
        <v>100</v>
      </c>
      <c r="H32">
        <f>SUM(D25:G25)</f>
        <v>20.340000000000003</v>
      </c>
      <c r="M32" s="34"/>
      <c r="N32" s="31"/>
      <c r="O32" s="31"/>
      <c r="P32" s="31"/>
      <c r="Q32" s="31"/>
    </row>
    <row r="33" spans="2:17" ht="31.5" x14ac:dyDescent="0.25">
      <c r="C33" s="35" t="s">
        <v>65</v>
      </c>
      <c r="D33" s="34">
        <f>D29-D32</f>
        <v>0</v>
      </c>
      <c r="E33" s="34">
        <f>E29-E32</f>
        <v>-1.9999999999999964</v>
      </c>
      <c r="F33" s="34">
        <f>F29-F32</f>
        <v>-1.9999999999999929</v>
      </c>
      <c r="G33" s="34">
        <f>G29-G32</f>
        <v>-14.285714285714278</v>
      </c>
      <c r="M33" s="35"/>
      <c r="N33" s="31"/>
      <c r="O33" s="31"/>
      <c r="P33" s="31"/>
      <c r="Q33" s="31"/>
    </row>
    <row r="34" spans="2:17" ht="15.75" x14ac:dyDescent="0.25">
      <c r="B34" s="24"/>
      <c r="M34" s="35"/>
      <c r="N34" s="31"/>
      <c r="O34" s="31"/>
      <c r="P34" s="31"/>
      <c r="Q34" s="31"/>
    </row>
    <row r="35" spans="2:17" ht="15.75" x14ac:dyDescent="0.25">
      <c r="M35" s="35"/>
      <c r="N35" s="31"/>
      <c r="O35" s="31"/>
      <c r="P35" s="31"/>
      <c r="Q35" s="31"/>
    </row>
    <row r="36" spans="2:17" ht="15.75" x14ac:dyDescent="0.25">
      <c r="M36" s="35"/>
      <c r="N36" s="31"/>
      <c r="O36" s="31"/>
      <c r="P36" s="31"/>
      <c r="Q36" s="31"/>
    </row>
    <row r="37" spans="2:17" ht="15.75" x14ac:dyDescent="0.25">
      <c r="M37" s="35"/>
      <c r="N37" s="31"/>
      <c r="O37" s="31"/>
      <c r="P37" s="31"/>
      <c r="Q37" s="31"/>
    </row>
    <row r="38" spans="2:17" ht="15.75" x14ac:dyDescent="0.25">
      <c r="M38" s="35"/>
      <c r="N38" s="31"/>
      <c r="O38" s="31"/>
      <c r="P38" s="31"/>
      <c r="Q38" s="31"/>
    </row>
  </sheetData>
  <mergeCells count="36">
    <mergeCell ref="B12:C12"/>
    <mergeCell ref="B13:C13"/>
    <mergeCell ref="B14:C14"/>
    <mergeCell ref="B15:C15"/>
    <mergeCell ref="B20:C20"/>
    <mergeCell ref="B18:C18"/>
    <mergeCell ref="B19:C19"/>
    <mergeCell ref="B16:C16"/>
    <mergeCell ref="B17:C17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</mergeCells>
  <phoneticPr fontId="1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C331-21E8-4753-811F-9AED2FA87365}">
  <dimension ref="A2:H12"/>
  <sheetViews>
    <sheetView workbookViewId="0">
      <selection activeCell="H5" sqref="H5"/>
    </sheetView>
  </sheetViews>
  <sheetFormatPr defaultRowHeight="15" x14ac:dyDescent="0.25"/>
  <cols>
    <col min="1" max="1" width="23.42578125" customWidth="1"/>
    <col min="2" max="2" width="23" style="17" customWidth="1"/>
    <col min="5" max="5" width="12.28515625" style="17" customWidth="1"/>
    <col min="6" max="6" width="24" style="17" customWidth="1"/>
    <col min="7" max="7" width="10.7109375" style="17" bestFit="1" customWidth="1"/>
    <col min="8" max="8" width="12" style="17" customWidth="1"/>
  </cols>
  <sheetData>
    <row r="2" spans="1:8" ht="13.5" customHeight="1" x14ac:dyDescent="0.25"/>
    <row r="3" spans="1:8" hidden="1" x14ac:dyDescent="0.25"/>
    <row r="4" spans="1:8" ht="1.5" hidden="1" customHeight="1" x14ac:dyDescent="0.25"/>
    <row r="5" spans="1:8" x14ac:dyDescent="0.25">
      <c r="A5" s="36" t="s">
        <v>74</v>
      </c>
      <c r="B5" s="36" t="s">
        <v>75</v>
      </c>
      <c r="E5" s="36" t="s">
        <v>74</v>
      </c>
      <c r="F5" s="36" t="s">
        <v>75</v>
      </c>
      <c r="G5" s="36" t="s">
        <v>81</v>
      </c>
      <c r="H5" s="36" t="s">
        <v>82</v>
      </c>
    </row>
    <row r="6" spans="1:8" x14ac:dyDescent="0.25">
      <c r="A6" s="1" t="s">
        <v>76</v>
      </c>
      <c r="B6" s="41">
        <v>50</v>
      </c>
      <c r="E6" s="41">
        <v>1</v>
      </c>
      <c r="F6" s="41">
        <v>92</v>
      </c>
      <c r="G6" s="42">
        <v>46327</v>
      </c>
      <c r="H6" s="41" t="s">
        <v>87</v>
      </c>
    </row>
    <row r="7" spans="1:8" x14ac:dyDescent="0.25">
      <c r="A7" s="1" t="s">
        <v>77</v>
      </c>
      <c r="B7" s="41">
        <v>104</v>
      </c>
      <c r="E7" s="41">
        <v>2</v>
      </c>
      <c r="F7" s="41">
        <v>72</v>
      </c>
      <c r="G7" s="42">
        <v>46024</v>
      </c>
      <c r="H7" s="42" t="s">
        <v>86</v>
      </c>
    </row>
    <row r="8" spans="1:8" x14ac:dyDescent="0.25">
      <c r="A8" s="1" t="s">
        <v>78</v>
      </c>
      <c r="B8" s="41">
        <v>62</v>
      </c>
      <c r="E8" s="41">
        <v>3</v>
      </c>
      <c r="F8" s="41">
        <v>69</v>
      </c>
      <c r="G8" s="42" t="s">
        <v>85</v>
      </c>
      <c r="H8" s="42">
        <v>46145</v>
      </c>
    </row>
    <row r="9" spans="1:8" x14ac:dyDescent="0.25">
      <c r="A9" s="1" t="s">
        <v>79</v>
      </c>
      <c r="B9" s="41">
        <v>56</v>
      </c>
      <c r="E9" s="41">
        <v>4</v>
      </c>
      <c r="F9" s="41">
        <v>117</v>
      </c>
      <c r="G9" s="42">
        <v>46176</v>
      </c>
      <c r="H9" s="41" t="s">
        <v>88</v>
      </c>
    </row>
    <row r="10" spans="1:8" x14ac:dyDescent="0.25">
      <c r="A10" s="1" t="s">
        <v>83</v>
      </c>
      <c r="B10" s="41">
        <v>44</v>
      </c>
      <c r="E10" s="41" t="s">
        <v>80</v>
      </c>
      <c r="F10" s="41">
        <v>350</v>
      </c>
      <c r="G10" s="41"/>
      <c r="H10" s="41"/>
    </row>
    <row r="11" spans="1:8" x14ac:dyDescent="0.25">
      <c r="A11" s="1" t="s">
        <v>84</v>
      </c>
      <c r="B11" s="41">
        <v>34</v>
      </c>
    </row>
    <row r="12" spans="1:8" x14ac:dyDescent="0.25">
      <c r="A12" s="1" t="s">
        <v>80</v>
      </c>
      <c r="B12" s="41">
        <v>350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Spent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Mazharul Mridul</dc:creator>
  <cp:lastModifiedBy>Mazharul Mridul</cp:lastModifiedBy>
  <dcterms:created xsi:type="dcterms:W3CDTF">2026-03-30T04:01:03Z</dcterms:created>
  <dcterms:modified xsi:type="dcterms:W3CDTF">2026-04-05T06:00:01Z</dcterms:modified>
</cp:coreProperties>
</file>